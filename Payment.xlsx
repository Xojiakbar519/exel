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2CF81B16-89B0-4C63-ACF5-5EC28C37C27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4" i="1" l="1"/>
  <c r="D55" i="1"/>
  <c r="C55" i="1"/>
  <c r="D54" i="1"/>
  <c r="C54" i="1"/>
  <c r="E53" i="1"/>
  <c r="E55" i="1" s="1"/>
  <c r="D53" i="1"/>
  <c r="C53" i="1"/>
  <c r="H3" i="1"/>
  <c r="I3" i="1" s="1"/>
  <c r="H7" i="1"/>
  <c r="H26" i="1"/>
  <c r="I26" i="1" s="1"/>
  <c r="H27" i="1"/>
  <c r="I27" i="1" s="1"/>
  <c r="G3" i="1"/>
  <c r="G4" i="1"/>
  <c r="H4" i="1" s="1"/>
  <c r="G5" i="1"/>
  <c r="H5" i="1" s="1"/>
  <c r="G6" i="1"/>
  <c r="H6" i="1" s="1"/>
  <c r="G7" i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G27" i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I38" i="1" s="1"/>
  <c r="G39" i="1"/>
  <c r="H39" i="1" s="1"/>
  <c r="I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2" i="1"/>
  <c r="F3" i="1"/>
  <c r="F4" i="1"/>
  <c r="F5" i="1"/>
  <c r="F6" i="1"/>
  <c r="I6" i="1" s="1"/>
  <c r="F7" i="1"/>
  <c r="F8" i="1"/>
  <c r="F9" i="1"/>
  <c r="I9" i="1" s="1"/>
  <c r="F10" i="1"/>
  <c r="F11" i="1"/>
  <c r="F12" i="1"/>
  <c r="I12" i="1" s="1"/>
  <c r="F13" i="1"/>
  <c r="F14" i="1"/>
  <c r="F15" i="1"/>
  <c r="F16" i="1"/>
  <c r="F17" i="1"/>
  <c r="F18" i="1"/>
  <c r="I18" i="1" s="1"/>
  <c r="F19" i="1"/>
  <c r="F20" i="1"/>
  <c r="F21" i="1"/>
  <c r="I21" i="1" s="1"/>
  <c r="F22" i="1"/>
  <c r="F23" i="1"/>
  <c r="F24" i="1"/>
  <c r="I24" i="1" s="1"/>
  <c r="F25" i="1"/>
  <c r="F26" i="1"/>
  <c r="F27" i="1"/>
  <c r="F28" i="1"/>
  <c r="F29" i="1"/>
  <c r="F30" i="1"/>
  <c r="I30" i="1" s="1"/>
  <c r="F31" i="1"/>
  <c r="F32" i="1"/>
  <c r="F33" i="1"/>
  <c r="I33" i="1" s="1"/>
  <c r="F34" i="1"/>
  <c r="F35" i="1"/>
  <c r="F36" i="1"/>
  <c r="I36" i="1" s="1"/>
  <c r="F37" i="1"/>
  <c r="F38" i="1"/>
  <c r="F39" i="1"/>
  <c r="F40" i="1"/>
  <c r="F41" i="1"/>
  <c r="F42" i="1"/>
  <c r="I42" i="1" s="1"/>
  <c r="F43" i="1"/>
  <c r="F44" i="1"/>
  <c r="F45" i="1"/>
  <c r="I45" i="1" s="1"/>
  <c r="F46" i="1"/>
  <c r="F47" i="1"/>
  <c r="F48" i="1"/>
  <c r="I48" i="1" s="1"/>
  <c r="F49" i="1"/>
  <c r="F50" i="1"/>
  <c r="F51" i="1"/>
  <c r="F2" i="1"/>
  <c r="G53" i="1" l="1"/>
  <c r="F54" i="1"/>
  <c r="I51" i="1"/>
  <c r="I15" i="1"/>
  <c r="I50" i="1"/>
  <c r="I14" i="1"/>
  <c r="I44" i="1"/>
  <c r="I32" i="1"/>
  <c r="I20" i="1"/>
  <c r="I8" i="1"/>
  <c r="I43" i="1"/>
  <c r="I31" i="1"/>
  <c r="I19" i="1"/>
  <c r="I7" i="1"/>
  <c r="F53" i="1"/>
  <c r="I41" i="1"/>
  <c r="I29" i="1"/>
  <c r="I17" i="1"/>
  <c r="I5" i="1"/>
  <c r="G54" i="1"/>
  <c r="I40" i="1"/>
  <c r="I28" i="1"/>
  <c r="I16" i="1"/>
  <c r="G55" i="1"/>
  <c r="I49" i="1"/>
  <c r="I37" i="1"/>
  <c r="I25" i="1"/>
  <c r="I13" i="1"/>
  <c r="F55" i="1"/>
  <c r="I4" i="1"/>
  <c r="H54" i="1"/>
  <c r="I47" i="1"/>
  <c r="I35" i="1"/>
  <c r="I23" i="1"/>
  <c r="I11" i="1"/>
  <c r="I46" i="1"/>
  <c r="I34" i="1"/>
  <c r="I22" i="1"/>
  <c r="I10" i="1"/>
  <c r="H2" i="1"/>
  <c r="H53" i="1" l="1"/>
  <c r="H55" i="1" s="1"/>
  <c r="I2" i="1"/>
  <c r="I53" i="1" s="1"/>
  <c r="I55" i="1" s="1"/>
  <c r="I54" i="1"/>
</calcChain>
</file>

<file path=xl/sharedStrings.xml><?xml version="1.0" encoding="utf-8"?>
<sst xmlns="http://schemas.openxmlformats.org/spreadsheetml/2006/main" count="112" uniqueCount="67">
  <si>
    <t>John Smith</t>
  </si>
  <si>
    <t>Michael Johnson</t>
  </si>
  <si>
    <t>David Williams</t>
  </si>
  <si>
    <t>James Brown</t>
  </si>
  <si>
    <t>Robert Jones</t>
  </si>
  <si>
    <t>William Garcia</t>
  </si>
  <si>
    <t>Richard Miller</t>
  </si>
  <si>
    <t>Joseph Davis</t>
  </si>
  <si>
    <t>Thomas Rodriguez</t>
  </si>
  <si>
    <t>Charles Martinez</t>
  </si>
  <si>
    <t>Christopher Hernandez</t>
  </si>
  <si>
    <t>Daniel Lopez</t>
  </si>
  <si>
    <t>Matthew Gonzalez</t>
  </si>
  <si>
    <t>Anthony Wilson</t>
  </si>
  <si>
    <t>Mark Anderson</t>
  </si>
  <si>
    <t>Donald Thomas</t>
  </si>
  <si>
    <t>Steven Taylor</t>
  </si>
  <si>
    <t>Paul Moore</t>
  </si>
  <si>
    <t>Andrew Jackson</t>
  </si>
  <si>
    <t>Joshua Martin</t>
  </si>
  <si>
    <t>Kenneth Lee</t>
  </si>
  <si>
    <t>Kevin Perez</t>
  </si>
  <si>
    <t>Brian Thompson</t>
  </si>
  <si>
    <t>George White</t>
  </si>
  <si>
    <t>Edward Harris</t>
  </si>
  <si>
    <t>Ronald Sanchez</t>
  </si>
  <si>
    <t>Timothy Clark</t>
  </si>
  <si>
    <t>Jason Ramirez</t>
  </si>
  <si>
    <t>Jeffrey Lewis</t>
  </si>
  <si>
    <t>Ryan Robinson</t>
  </si>
  <si>
    <t>Jacob Walker</t>
  </si>
  <si>
    <t>Gary Young</t>
  </si>
  <si>
    <t>Nicholas Allen</t>
  </si>
  <si>
    <t>Eric King</t>
  </si>
  <si>
    <t>Stephen Wright</t>
  </si>
  <si>
    <t>Jonathan Scott</t>
  </si>
  <si>
    <t>Larry Torres</t>
  </si>
  <si>
    <t>Justin Nguyen</t>
  </si>
  <si>
    <t>Scott Hill</t>
  </si>
  <si>
    <t>Brandon Flores</t>
  </si>
  <si>
    <t>Benjamin Green</t>
  </si>
  <si>
    <t>Samuel Adams</t>
  </si>
  <si>
    <t>Gregory Nelson</t>
  </si>
  <si>
    <t>Frank Baker</t>
  </si>
  <si>
    <t>Alexander Hall</t>
  </si>
  <si>
    <t>Raymond Rivera</t>
  </si>
  <si>
    <t>Patrick Campbell</t>
  </si>
  <si>
    <t>Jack Mitchell</t>
  </si>
  <si>
    <t>Dennis Carter</t>
  </si>
  <si>
    <t>Jerry Roberts</t>
  </si>
  <si>
    <t>position</t>
  </si>
  <si>
    <t>Developer</t>
  </si>
  <si>
    <t>Designer</t>
  </si>
  <si>
    <t>Accountant</t>
  </si>
  <si>
    <t>Manager</t>
  </si>
  <si>
    <t>Support</t>
  </si>
  <si>
    <t>Weekly Hours Worked</t>
  </si>
  <si>
    <t>Hourly Rate ($)</t>
  </si>
  <si>
    <t>Required Weekly Hours</t>
  </si>
  <si>
    <t>Pay for 40 hours.</t>
  </si>
  <si>
    <t>Payment for extra work</t>
  </si>
  <si>
    <t>extra hour</t>
  </si>
  <si>
    <t>TOTAL</t>
  </si>
  <si>
    <t>MAX</t>
  </si>
  <si>
    <t>MIN</t>
  </si>
  <si>
    <t>AVARAGE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</si>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</sst>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0.0"/>
  </numFmts>
  <fonts count="2">
    <font>
      <sz val="11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164" fontId="0" fillId="0" borderId="0" xfId="0" applyNumberFormat="1"/>
    <xf numFmtId="0" fontId="0" fillId="0" borderId="0" xfId="0" applyNumberFormat="1"/>
    <xf numFmtId="165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topLeftCell="A28" workbookViewId="0">
      <selection activeCell="I56" sqref="I56"/>
    </sheetView>
  </sheetViews>
  <sheetFormatPr defaultRowHeight="14.4"/>
  <cols>
    <col min="1" max="1" width="19.77734375" bestFit="1" customWidth="1"/>
    <col min="2" max="2" width="10.109375" bestFit="1" customWidth="1"/>
    <col min="3" max="3" width="19.33203125" bestFit="1" customWidth="1"/>
    <col min="4" max="4" width="20.109375" bestFit="1" customWidth="1"/>
    <col min="5" max="5" width="13.21875" bestFit="1" customWidth="1"/>
    <col min="6" max="7" width="16.44140625" customWidth="1"/>
    <col min="8" max="8" width="20.77734375" customWidth="1"/>
  </cols>
  <sheetData>
    <row r="1" spans="1:9">
      <c r="A1" s="5" t="s">
        <v>66</v>
      </c>
      <c r="B1" s="5" t="s">
        <v>50</v>
      </c>
      <c r="C1" s="5" t="s">
        <v>56</v>
      </c>
      <c r="D1" s="5" t="s">
        <v>58</v>
      </c>
      <c r="E1" s="5" t="s">
        <v>57</v>
      </c>
      <c r="F1" s="5" t="s">
        <v>59</v>
      </c>
      <c r="G1" s="5" t="s">
        <v>61</v>
      </c>
      <c r="H1" s="5" t="s">
        <v>60</v>
      </c>
      <c r="I1" s="5" t="s">
        <v>62</v>
      </c>
    </row>
    <row r="2" spans="1:9">
      <c r="A2" t="s">
        <v>0</v>
      </c>
      <c r="B2" s="1" t="s">
        <v>51</v>
      </c>
      <c r="C2">
        <v>42</v>
      </c>
      <c r="D2">
        <v>40</v>
      </c>
      <c r="E2" s="2">
        <v>12</v>
      </c>
      <c r="F2" s="2">
        <f>C2*E2</f>
        <v>504</v>
      </c>
      <c r="G2" s="3">
        <f>IF(C2&gt;40,C2-40,0)</f>
        <v>2</v>
      </c>
      <c r="H2" s="2">
        <f>G2*E2/2</f>
        <v>12</v>
      </c>
      <c r="I2" s="2">
        <f>F2+H2</f>
        <v>516</v>
      </c>
    </row>
    <row r="3" spans="1:9">
      <c r="A3" t="s">
        <v>1</v>
      </c>
      <c r="B3" s="1" t="s">
        <v>52</v>
      </c>
      <c r="C3">
        <v>38</v>
      </c>
      <c r="D3">
        <v>40</v>
      </c>
      <c r="E3" s="2">
        <v>10</v>
      </c>
      <c r="F3" s="2">
        <f t="shared" ref="F3:F51" si="0">C3*E3</f>
        <v>380</v>
      </c>
      <c r="G3" s="3">
        <f t="shared" ref="G3:G51" si="1">IF(C3&gt;40,C3-40,0)</f>
        <v>0</v>
      </c>
      <c r="H3" s="2">
        <f t="shared" ref="H3:H51" si="2">G3*E3/2</f>
        <v>0</v>
      </c>
      <c r="I3" s="2">
        <f t="shared" ref="I3:I51" si="3">F3+H3</f>
        <v>380</v>
      </c>
    </row>
    <row r="4" spans="1:9">
      <c r="A4" t="s">
        <v>2</v>
      </c>
      <c r="B4" s="1" t="s">
        <v>53</v>
      </c>
      <c r="C4">
        <v>40</v>
      </c>
      <c r="D4">
        <v>40</v>
      </c>
      <c r="E4" s="2">
        <v>9</v>
      </c>
      <c r="F4" s="2">
        <f t="shared" si="0"/>
        <v>360</v>
      </c>
      <c r="G4" s="3">
        <f t="shared" si="1"/>
        <v>0</v>
      </c>
      <c r="H4" s="2">
        <f t="shared" si="2"/>
        <v>0</v>
      </c>
      <c r="I4" s="2">
        <f t="shared" si="3"/>
        <v>360</v>
      </c>
    </row>
    <row r="5" spans="1:9">
      <c r="A5" t="s">
        <v>3</v>
      </c>
      <c r="B5" s="1" t="s">
        <v>54</v>
      </c>
      <c r="C5">
        <v>45</v>
      </c>
      <c r="D5">
        <v>40</v>
      </c>
      <c r="E5" s="2">
        <v>15</v>
      </c>
      <c r="F5" s="2">
        <f t="shared" si="0"/>
        <v>675</v>
      </c>
      <c r="G5" s="3">
        <f t="shared" si="1"/>
        <v>5</v>
      </c>
      <c r="H5" s="2">
        <f t="shared" si="2"/>
        <v>37.5</v>
      </c>
      <c r="I5" s="2">
        <f t="shared" si="3"/>
        <v>712.5</v>
      </c>
    </row>
    <row r="6" spans="1:9">
      <c r="A6" t="s">
        <v>4</v>
      </c>
      <c r="B6" s="1" t="s">
        <v>51</v>
      </c>
      <c r="C6">
        <v>41</v>
      </c>
      <c r="D6">
        <v>40</v>
      </c>
      <c r="E6" s="2">
        <v>12</v>
      </c>
      <c r="F6" s="2">
        <f t="shared" si="0"/>
        <v>492</v>
      </c>
      <c r="G6" s="3">
        <f t="shared" si="1"/>
        <v>1</v>
      </c>
      <c r="H6" s="2">
        <f t="shared" si="2"/>
        <v>6</v>
      </c>
      <c r="I6" s="2">
        <f t="shared" si="3"/>
        <v>498</v>
      </c>
    </row>
    <row r="7" spans="1:9">
      <c r="A7" t="s">
        <v>5</v>
      </c>
      <c r="B7" s="1" t="s">
        <v>55</v>
      </c>
      <c r="C7">
        <v>39</v>
      </c>
      <c r="D7">
        <v>40</v>
      </c>
      <c r="E7" s="2">
        <v>8</v>
      </c>
      <c r="F7" s="2">
        <f t="shared" si="0"/>
        <v>312</v>
      </c>
      <c r="G7" s="3">
        <f t="shared" si="1"/>
        <v>0</v>
      </c>
      <c r="H7" s="2">
        <f t="shared" si="2"/>
        <v>0</v>
      </c>
      <c r="I7" s="2">
        <f t="shared" si="3"/>
        <v>312</v>
      </c>
    </row>
    <row r="8" spans="1:9">
      <c r="A8" t="s">
        <v>6</v>
      </c>
      <c r="B8" s="1" t="s">
        <v>51</v>
      </c>
      <c r="C8">
        <v>44</v>
      </c>
      <c r="D8">
        <v>40</v>
      </c>
      <c r="E8" s="2">
        <v>13</v>
      </c>
      <c r="F8" s="2">
        <f t="shared" si="0"/>
        <v>572</v>
      </c>
      <c r="G8" s="3">
        <f t="shared" si="1"/>
        <v>4</v>
      </c>
      <c r="H8" s="2">
        <f t="shared" si="2"/>
        <v>26</v>
      </c>
      <c r="I8" s="2">
        <f t="shared" si="3"/>
        <v>598</v>
      </c>
    </row>
    <row r="9" spans="1:9">
      <c r="A9" t="s">
        <v>7</v>
      </c>
      <c r="B9" s="1" t="s">
        <v>52</v>
      </c>
      <c r="C9">
        <v>37</v>
      </c>
      <c r="D9">
        <v>40</v>
      </c>
      <c r="E9" s="2">
        <v>10</v>
      </c>
      <c r="F9" s="2">
        <f t="shared" si="0"/>
        <v>370</v>
      </c>
      <c r="G9" s="3">
        <f t="shared" si="1"/>
        <v>0</v>
      </c>
      <c r="H9" s="2">
        <f t="shared" si="2"/>
        <v>0</v>
      </c>
      <c r="I9" s="2">
        <f t="shared" si="3"/>
        <v>370</v>
      </c>
    </row>
    <row r="10" spans="1:9">
      <c r="A10" t="s">
        <v>8</v>
      </c>
      <c r="B10" s="1" t="s">
        <v>55</v>
      </c>
      <c r="C10">
        <v>40</v>
      </c>
      <c r="D10">
        <v>40</v>
      </c>
      <c r="E10" s="2">
        <v>8</v>
      </c>
      <c r="F10" s="2">
        <f t="shared" si="0"/>
        <v>320</v>
      </c>
      <c r="G10" s="3">
        <f t="shared" si="1"/>
        <v>0</v>
      </c>
      <c r="H10" s="2">
        <f t="shared" si="2"/>
        <v>0</v>
      </c>
      <c r="I10" s="2">
        <f t="shared" si="3"/>
        <v>320</v>
      </c>
    </row>
    <row r="11" spans="1:9">
      <c r="A11" t="s">
        <v>9</v>
      </c>
      <c r="B11" s="1" t="s">
        <v>51</v>
      </c>
      <c r="C11">
        <v>43</v>
      </c>
      <c r="D11">
        <v>40</v>
      </c>
      <c r="E11" s="2">
        <v>12</v>
      </c>
      <c r="F11" s="2">
        <f t="shared" si="0"/>
        <v>516</v>
      </c>
      <c r="G11" s="3">
        <f t="shared" si="1"/>
        <v>3</v>
      </c>
      <c r="H11" s="2">
        <f t="shared" si="2"/>
        <v>18</v>
      </c>
      <c r="I11" s="2">
        <f t="shared" si="3"/>
        <v>534</v>
      </c>
    </row>
    <row r="12" spans="1:9">
      <c r="A12" t="s">
        <v>10</v>
      </c>
      <c r="B12" s="1" t="s">
        <v>54</v>
      </c>
      <c r="C12">
        <v>46</v>
      </c>
      <c r="D12">
        <v>40</v>
      </c>
      <c r="E12" s="2">
        <v>16</v>
      </c>
      <c r="F12" s="2">
        <f t="shared" si="0"/>
        <v>736</v>
      </c>
      <c r="G12" s="3">
        <f t="shared" si="1"/>
        <v>6</v>
      </c>
      <c r="H12" s="2">
        <f t="shared" si="2"/>
        <v>48</v>
      </c>
      <c r="I12" s="2">
        <f t="shared" si="3"/>
        <v>784</v>
      </c>
    </row>
    <row r="13" spans="1:9">
      <c r="A13" t="s">
        <v>11</v>
      </c>
      <c r="B13" s="1" t="s">
        <v>53</v>
      </c>
      <c r="C13">
        <v>40</v>
      </c>
      <c r="D13">
        <v>40</v>
      </c>
      <c r="E13" s="2">
        <v>9</v>
      </c>
      <c r="F13" s="2">
        <f t="shared" si="0"/>
        <v>360</v>
      </c>
      <c r="G13" s="3">
        <f t="shared" si="1"/>
        <v>0</v>
      </c>
      <c r="H13" s="2">
        <f t="shared" si="2"/>
        <v>0</v>
      </c>
      <c r="I13" s="2">
        <f t="shared" si="3"/>
        <v>360</v>
      </c>
    </row>
    <row r="14" spans="1:9">
      <c r="A14" t="s">
        <v>12</v>
      </c>
      <c r="B14" s="1" t="s">
        <v>55</v>
      </c>
      <c r="C14">
        <v>36</v>
      </c>
      <c r="D14">
        <v>40</v>
      </c>
      <c r="E14" s="2">
        <v>8</v>
      </c>
      <c r="F14" s="2">
        <f t="shared" si="0"/>
        <v>288</v>
      </c>
      <c r="G14" s="3">
        <f t="shared" si="1"/>
        <v>0</v>
      </c>
      <c r="H14" s="2">
        <f t="shared" si="2"/>
        <v>0</v>
      </c>
      <c r="I14" s="2">
        <f t="shared" si="3"/>
        <v>288</v>
      </c>
    </row>
    <row r="15" spans="1:9">
      <c r="A15" t="s">
        <v>13</v>
      </c>
      <c r="B15" s="1" t="s">
        <v>51</v>
      </c>
      <c r="C15">
        <v>42</v>
      </c>
      <c r="D15">
        <v>40</v>
      </c>
      <c r="E15" s="2">
        <v>13</v>
      </c>
      <c r="F15" s="2">
        <f t="shared" si="0"/>
        <v>546</v>
      </c>
      <c r="G15" s="3">
        <f t="shared" si="1"/>
        <v>2</v>
      </c>
      <c r="H15" s="2">
        <f t="shared" si="2"/>
        <v>13</v>
      </c>
      <c r="I15" s="2">
        <f t="shared" si="3"/>
        <v>559</v>
      </c>
    </row>
    <row r="16" spans="1:9">
      <c r="A16" t="s">
        <v>14</v>
      </c>
      <c r="B16" s="1" t="s">
        <v>52</v>
      </c>
      <c r="C16">
        <v>38</v>
      </c>
      <c r="D16">
        <v>40</v>
      </c>
      <c r="E16" s="2">
        <v>10</v>
      </c>
      <c r="F16" s="2">
        <f t="shared" si="0"/>
        <v>380</v>
      </c>
      <c r="G16" s="3">
        <f t="shared" si="1"/>
        <v>0</v>
      </c>
      <c r="H16" s="2">
        <f t="shared" si="2"/>
        <v>0</v>
      </c>
      <c r="I16" s="2">
        <f t="shared" si="3"/>
        <v>380</v>
      </c>
    </row>
    <row r="17" spans="1:9">
      <c r="A17" t="s">
        <v>15</v>
      </c>
      <c r="B17" s="1" t="s">
        <v>51</v>
      </c>
      <c r="C17">
        <v>41</v>
      </c>
      <c r="D17">
        <v>40</v>
      </c>
      <c r="E17" s="2">
        <v>12</v>
      </c>
      <c r="F17" s="2">
        <f t="shared" si="0"/>
        <v>492</v>
      </c>
      <c r="G17" s="3">
        <f t="shared" si="1"/>
        <v>1</v>
      </c>
      <c r="H17" s="2">
        <f t="shared" si="2"/>
        <v>6</v>
      </c>
      <c r="I17" s="2">
        <f t="shared" si="3"/>
        <v>498</v>
      </c>
    </row>
    <row r="18" spans="1:9">
      <c r="A18" t="s">
        <v>16</v>
      </c>
      <c r="B18" s="1" t="s">
        <v>55</v>
      </c>
      <c r="C18">
        <v>39</v>
      </c>
      <c r="D18">
        <v>40</v>
      </c>
      <c r="E18" s="2">
        <v>8</v>
      </c>
      <c r="F18" s="2">
        <f t="shared" si="0"/>
        <v>312</v>
      </c>
      <c r="G18" s="3">
        <f t="shared" si="1"/>
        <v>0</v>
      </c>
      <c r="H18" s="2">
        <f t="shared" si="2"/>
        <v>0</v>
      </c>
      <c r="I18" s="2">
        <f t="shared" si="3"/>
        <v>312</v>
      </c>
    </row>
    <row r="19" spans="1:9">
      <c r="A19" t="s">
        <v>17</v>
      </c>
      <c r="B19" s="1" t="s">
        <v>53</v>
      </c>
      <c r="C19">
        <v>40</v>
      </c>
      <c r="D19">
        <v>40</v>
      </c>
      <c r="E19" s="2">
        <v>9</v>
      </c>
      <c r="F19" s="2">
        <f t="shared" si="0"/>
        <v>360</v>
      </c>
      <c r="G19" s="3">
        <f t="shared" si="1"/>
        <v>0</v>
      </c>
      <c r="H19" s="2">
        <f t="shared" si="2"/>
        <v>0</v>
      </c>
      <c r="I19" s="2">
        <f t="shared" si="3"/>
        <v>360</v>
      </c>
    </row>
    <row r="20" spans="1:9">
      <c r="A20" t="s">
        <v>18</v>
      </c>
      <c r="B20" s="1" t="s">
        <v>51</v>
      </c>
      <c r="C20">
        <v>43</v>
      </c>
      <c r="D20">
        <v>40</v>
      </c>
      <c r="E20" s="2">
        <v>12</v>
      </c>
      <c r="F20" s="2">
        <f t="shared" si="0"/>
        <v>516</v>
      </c>
      <c r="G20" s="3">
        <f t="shared" si="1"/>
        <v>3</v>
      </c>
      <c r="H20" s="2">
        <f t="shared" si="2"/>
        <v>18</v>
      </c>
      <c r="I20" s="2">
        <f t="shared" si="3"/>
        <v>534</v>
      </c>
    </row>
    <row r="21" spans="1:9">
      <c r="A21" t="s">
        <v>19</v>
      </c>
      <c r="B21" s="1" t="s">
        <v>52</v>
      </c>
      <c r="C21">
        <v>37</v>
      </c>
      <c r="D21">
        <v>40</v>
      </c>
      <c r="E21" s="2">
        <v>10</v>
      </c>
      <c r="F21" s="2">
        <f t="shared" si="0"/>
        <v>370</v>
      </c>
      <c r="G21" s="3">
        <f t="shared" si="1"/>
        <v>0</v>
      </c>
      <c r="H21" s="2">
        <f t="shared" si="2"/>
        <v>0</v>
      </c>
      <c r="I21" s="2">
        <f t="shared" si="3"/>
        <v>370</v>
      </c>
    </row>
    <row r="22" spans="1:9">
      <c r="A22" t="s">
        <v>20</v>
      </c>
      <c r="B22" s="1" t="s">
        <v>55</v>
      </c>
      <c r="C22">
        <v>40</v>
      </c>
      <c r="D22">
        <v>40</v>
      </c>
      <c r="E22" s="2">
        <v>8</v>
      </c>
      <c r="F22" s="2">
        <f t="shared" si="0"/>
        <v>320</v>
      </c>
      <c r="G22" s="3">
        <f t="shared" si="1"/>
        <v>0</v>
      </c>
      <c r="H22" s="2">
        <f t="shared" si="2"/>
        <v>0</v>
      </c>
      <c r="I22" s="2">
        <f t="shared" si="3"/>
        <v>320</v>
      </c>
    </row>
    <row r="23" spans="1:9">
      <c r="A23" t="s">
        <v>21</v>
      </c>
      <c r="B23" s="1" t="s">
        <v>51</v>
      </c>
      <c r="C23">
        <v>44</v>
      </c>
      <c r="D23">
        <v>40</v>
      </c>
      <c r="E23" s="2">
        <v>13</v>
      </c>
      <c r="F23" s="2">
        <f t="shared" si="0"/>
        <v>572</v>
      </c>
      <c r="G23" s="3">
        <f t="shared" si="1"/>
        <v>4</v>
      </c>
      <c r="H23" s="2">
        <f t="shared" si="2"/>
        <v>26</v>
      </c>
      <c r="I23" s="2">
        <f t="shared" si="3"/>
        <v>598</v>
      </c>
    </row>
    <row r="24" spans="1:9">
      <c r="A24" t="s">
        <v>22</v>
      </c>
      <c r="B24" s="1" t="s">
        <v>54</v>
      </c>
      <c r="C24">
        <v>45</v>
      </c>
      <c r="D24">
        <v>40</v>
      </c>
      <c r="E24" s="2">
        <v>15</v>
      </c>
      <c r="F24" s="2">
        <f t="shared" si="0"/>
        <v>675</v>
      </c>
      <c r="G24" s="3">
        <f t="shared" si="1"/>
        <v>5</v>
      </c>
      <c r="H24" s="2">
        <f t="shared" si="2"/>
        <v>37.5</v>
      </c>
      <c r="I24" s="2">
        <f t="shared" si="3"/>
        <v>712.5</v>
      </c>
    </row>
    <row r="25" spans="1:9">
      <c r="A25" t="s">
        <v>23</v>
      </c>
      <c r="B25" s="1" t="s">
        <v>53</v>
      </c>
      <c r="C25">
        <v>40</v>
      </c>
      <c r="D25">
        <v>40</v>
      </c>
      <c r="E25" s="2">
        <v>9</v>
      </c>
      <c r="F25" s="2">
        <f t="shared" si="0"/>
        <v>360</v>
      </c>
      <c r="G25" s="3">
        <f t="shared" si="1"/>
        <v>0</v>
      </c>
      <c r="H25" s="2">
        <f t="shared" si="2"/>
        <v>0</v>
      </c>
      <c r="I25" s="2">
        <f t="shared" si="3"/>
        <v>360</v>
      </c>
    </row>
    <row r="26" spans="1:9">
      <c r="A26" t="s">
        <v>24</v>
      </c>
      <c r="B26" s="1" t="s">
        <v>55</v>
      </c>
      <c r="C26">
        <v>38</v>
      </c>
      <c r="D26">
        <v>40</v>
      </c>
      <c r="E26" s="2">
        <v>8</v>
      </c>
      <c r="F26" s="2">
        <f t="shared" si="0"/>
        <v>304</v>
      </c>
      <c r="G26" s="3">
        <f t="shared" si="1"/>
        <v>0</v>
      </c>
      <c r="H26" s="2">
        <f t="shared" si="2"/>
        <v>0</v>
      </c>
      <c r="I26" s="2">
        <f t="shared" si="3"/>
        <v>304</v>
      </c>
    </row>
    <row r="27" spans="1:9">
      <c r="A27" t="s">
        <v>25</v>
      </c>
      <c r="B27" s="1" t="s">
        <v>51</v>
      </c>
      <c r="C27">
        <v>42</v>
      </c>
      <c r="D27">
        <v>40</v>
      </c>
      <c r="E27" s="2">
        <v>12</v>
      </c>
      <c r="F27" s="2">
        <f t="shared" si="0"/>
        <v>504</v>
      </c>
      <c r="G27" s="3">
        <f t="shared" si="1"/>
        <v>2</v>
      </c>
      <c r="H27" s="2">
        <f t="shared" si="2"/>
        <v>12</v>
      </c>
      <c r="I27" s="2">
        <f t="shared" si="3"/>
        <v>516</v>
      </c>
    </row>
    <row r="28" spans="1:9">
      <c r="A28" t="s">
        <v>26</v>
      </c>
      <c r="B28" s="1" t="s">
        <v>52</v>
      </c>
      <c r="C28">
        <v>39</v>
      </c>
      <c r="D28">
        <v>40</v>
      </c>
      <c r="E28" s="2">
        <v>10</v>
      </c>
      <c r="F28" s="2">
        <f t="shared" si="0"/>
        <v>390</v>
      </c>
      <c r="G28" s="3">
        <f t="shared" si="1"/>
        <v>0</v>
      </c>
      <c r="H28" s="2">
        <f t="shared" si="2"/>
        <v>0</v>
      </c>
      <c r="I28" s="2">
        <f t="shared" si="3"/>
        <v>390</v>
      </c>
    </row>
    <row r="29" spans="1:9">
      <c r="A29" t="s">
        <v>27</v>
      </c>
      <c r="B29" s="1" t="s">
        <v>55</v>
      </c>
      <c r="C29">
        <v>37</v>
      </c>
      <c r="D29">
        <v>40</v>
      </c>
      <c r="E29" s="2">
        <v>8</v>
      </c>
      <c r="F29" s="2">
        <f t="shared" si="0"/>
        <v>296</v>
      </c>
      <c r="G29" s="3">
        <f t="shared" si="1"/>
        <v>0</v>
      </c>
      <c r="H29" s="2">
        <f t="shared" si="2"/>
        <v>0</v>
      </c>
      <c r="I29" s="2">
        <f t="shared" si="3"/>
        <v>296</v>
      </c>
    </row>
    <row r="30" spans="1:9">
      <c r="A30" t="s">
        <v>28</v>
      </c>
      <c r="B30" s="1" t="s">
        <v>51</v>
      </c>
      <c r="C30">
        <v>41</v>
      </c>
      <c r="D30">
        <v>40</v>
      </c>
      <c r="E30" s="2">
        <v>13</v>
      </c>
      <c r="F30" s="2">
        <f t="shared" si="0"/>
        <v>533</v>
      </c>
      <c r="G30" s="3">
        <f t="shared" si="1"/>
        <v>1</v>
      </c>
      <c r="H30" s="2">
        <f t="shared" si="2"/>
        <v>6.5</v>
      </c>
      <c r="I30" s="2">
        <f t="shared" si="3"/>
        <v>539.5</v>
      </c>
    </row>
    <row r="31" spans="1:9">
      <c r="A31" t="s">
        <v>29</v>
      </c>
      <c r="B31" s="1" t="s">
        <v>54</v>
      </c>
      <c r="C31">
        <v>46</v>
      </c>
      <c r="D31">
        <v>40</v>
      </c>
      <c r="E31" s="2">
        <v>16</v>
      </c>
      <c r="F31" s="2">
        <f t="shared" si="0"/>
        <v>736</v>
      </c>
      <c r="G31" s="3">
        <f t="shared" si="1"/>
        <v>6</v>
      </c>
      <c r="H31" s="2">
        <f t="shared" si="2"/>
        <v>48</v>
      </c>
      <c r="I31" s="2">
        <f t="shared" si="3"/>
        <v>784</v>
      </c>
    </row>
    <row r="32" spans="1:9">
      <c r="A32" t="s">
        <v>30</v>
      </c>
      <c r="B32" s="1" t="s">
        <v>53</v>
      </c>
      <c r="C32">
        <v>40</v>
      </c>
      <c r="D32">
        <v>40</v>
      </c>
      <c r="E32" s="2">
        <v>9</v>
      </c>
      <c r="F32" s="2">
        <f t="shared" si="0"/>
        <v>360</v>
      </c>
      <c r="G32" s="3">
        <f t="shared" si="1"/>
        <v>0</v>
      </c>
      <c r="H32" s="2">
        <f t="shared" si="2"/>
        <v>0</v>
      </c>
      <c r="I32" s="2">
        <f t="shared" si="3"/>
        <v>360</v>
      </c>
    </row>
    <row r="33" spans="1:9">
      <c r="A33" t="s">
        <v>31</v>
      </c>
      <c r="B33" s="1" t="s">
        <v>55</v>
      </c>
      <c r="C33">
        <v>36</v>
      </c>
      <c r="D33">
        <v>40</v>
      </c>
      <c r="E33" s="2">
        <v>8</v>
      </c>
      <c r="F33" s="2">
        <f t="shared" si="0"/>
        <v>288</v>
      </c>
      <c r="G33" s="3">
        <f t="shared" si="1"/>
        <v>0</v>
      </c>
      <c r="H33" s="2">
        <f t="shared" si="2"/>
        <v>0</v>
      </c>
      <c r="I33" s="2">
        <f t="shared" si="3"/>
        <v>288</v>
      </c>
    </row>
    <row r="34" spans="1:9">
      <c r="A34" t="s">
        <v>32</v>
      </c>
      <c r="B34" s="1" t="s">
        <v>51</v>
      </c>
      <c r="C34">
        <v>43</v>
      </c>
      <c r="D34">
        <v>40</v>
      </c>
      <c r="E34" s="2">
        <v>12</v>
      </c>
      <c r="F34" s="2">
        <f t="shared" si="0"/>
        <v>516</v>
      </c>
      <c r="G34" s="3">
        <f t="shared" si="1"/>
        <v>3</v>
      </c>
      <c r="H34" s="2">
        <f t="shared" si="2"/>
        <v>18</v>
      </c>
      <c r="I34" s="2">
        <f t="shared" si="3"/>
        <v>534</v>
      </c>
    </row>
    <row r="35" spans="1:9">
      <c r="A35" t="s">
        <v>33</v>
      </c>
      <c r="B35" s="1" t="s">
        <v>52</v>
      </c>
      <c r="C35">
        <v>38</v>
      </c>
      <c r="D35">
        <v>40</v>
      </c>
      <c r="E35" s="2">
        <v>10</v>
      </c>
      <c r="F35" s="2">
        <f t="shared" si="0"/>
        <v>380</v>
      </c>
      <c r="G35" s="3">
        <f t="shared" si="1"/>
        <v>0</v>
      </c>
      <c r="H35" s="2">
        <f t="shared" si="2"/>
        <v>0</v>
      </c>
      <c r="I35" s="2">
        <f t="shared" si="3"/>
        <v>380</v>
      </c>
    </row>
    <row r="36" spans="1:9">
      <c r="A36" t="s">
        <v>34</v>
      </c>
      <c r="B36" s="1" t="s">
        <v>55</v>
      </c>
      <c r="C36">
        <v>39</v>
      </c>
      <c r="D36">
        <v>40</v>
      </c>
      <c r="E36" s="2">
        <v>8</v>
      </c>
      <c r="F36" s="2">
        <f t="shared" si="0"/>
        <v>312</v>
      </c>
      <c r="G36" s="3">
        <f t="shared" si="1"/>
        <v>0</v>
      </c>
      <c r="H36" s="2">
        <f t="shared" si="2"/>
        <v>0</v>
      </c>
      <c r="I36" s="2">
        <f t="shared" si="3"/>
        <v>312</v>
      </c>
    </row>
    <row r="37" spans="1:9">
      <c r="A37" t="s">
        <v>35</v>
      </c>
      <c r="B37" s="1" t="s">
        <v>51</v>
      </c>
      <c r="C37">
        <v>42</v>
      </c>
      <c r="D37">
        <v>40</v>
      </c>
      <c r="E37" s="2">
        <v>13</v>
      </c>
      <c r="F37" s="2">
        <f t="shared" si="0"/>
        <v>546</v>
      </c>
      <c r="G37" s="3">
        <f t="shared" si="1"/>
        <v>2</v>
      </c>
      <c r="H37" s="2">
        <f t="shared" si="2"/>
        <v>13</v>
      </c>
      <c r="I37" s="2">
        <f t="shared" si="3"/>
        <v>559</v>
      </c>
    </row>
    <row r="38" spans="1:9">
      <c r="A38" t="s">
        <v>36</v>
      </c>
      <c r="B38" s="1" t="s">
        <v>53</v>
      </c>
      <c r="C38">
        <v>40</v>
      </c>
      <c r="D38">
        <v>40</v>
      </c>
      <c r="E38" s="2">
        <v>9</v>
      </c>
      <c r="F38" s="2">
        <f t="shared" si="0"/>
        <v>360</v>
      </c>
      <c r="G38" s="3">
        <f t="shared" si="1"/>
        <v>0</v>
      </c>
      <c r="H38" s="2">
        <f t="shared" si="2"/>
        <v>0</v>
      </c>
      <c r="I38" s="2">
        <f t="shared" si="3"/>
        <v>360</v>
      </c>
    </row>
    <row r="39" spans="1:9">
      <c r="A39" t="s">
        <v>37</v>
      </c>
      <c r="B39" s="1" t="s">
        <v>55</v>
      </c>
      <c r="C39">
        <v>37</v>
      </c>
      <c r="D39">
        <v>40</v>
      </c>
      <c r="E39" s="2">
        <v>8</v>
      </c>
      <c r="F39" s="2">
        <f t="shared" si="0"/>
        <v>296</v>
      </c>
      <c r="G39" s="3">
        <f t="shared" si="1"/>
        <v>0</v>
      </c>
      <c r="H39" s="2">
        <f t="shared" si="2"/>
        <v>0</v>
      </c>
      <c r="I39" s="2">
        <f t="shared" si="3"/>
        <v>296</v>
      </c>
    </row>
    <row r="40" spans="1:9">
      <c r="A40" t="s">
        <v>38</v>
      </c>
      <c r="B40" s="1" t="s">
        <v>51</v>
      </c>
      <c r="C40">
        <v>44</v>
      </c>
      <c r="D40">
        <v>40</v>
      </c>
      <c r="E40" s="2">
        <v>12</v>
      </c>
      <c r="F40" s="2">
        <f t="shared" si="0"/>
        <v>528</v>
      </c>
      <c r="G40" s="3">
        <f t="shared" si="1"/>
        <v>4</v>
      </c>
      <c r="H40" s="2">
        <f t="shared" si="2"/>
        <v>24</v>
      </c>
      <c r="I40" s="2">
        <f t="shared" si="3"/>
        <v>552</v>
      </c>
    </row>
    <row r="41" spans="1:9">
      <c r="A41" t="s">
        <v>39</v>
      </c>
      <c r="B41" s="1" t="s">
        <v>54</v>
      </c>
      <c r="C41">
        <v>45</v>
      </c>
      <c r="D41">
        <v>40</v>
      </c>
      <c r="E41" s="2">
        <v>15</v>
      </c>
      <c r="F41" s="2">
        <f t="shared" si="0"/>
        <v>675</v>
      </c>
      <c r="G41" s="3">
        <f t="shared" si="1"/>
        <v>5</v>
      </c>
      <c r="H41" s="2">
        <f t="shared" si="2"/>
        <v>37.5</v>
      </c>
      <c r="I41" s="2">
        <f t="shared" si="3"/>
        <v>712.5</v>
      </c>
    </row>
    <row r="42" spans="1:9">
      <c r="A42" t="s">
        <v>40</v>
      </c>
      <c r="B42" s="1" t="s">
        <v>53</v>
      </c>
      <c r="C42">
        <v>40</v>
      </c>
      <c r="D42">
        <v>40</v>
      </c>
      <c r="E42" s="2">
        <v>9</v>
      </c>
      <c r="F42" s="2">
        <f t="shared" si="0"/>
        <v>360</v>
      </c>
      <c r="G42" s="3">
        <f t="shared" si="1"/>
        <v>0</v>
      </c>
      <c r="H42" s="2">
        <f t="shared" si="2"/>
        <v>0</v>
      </c>
      <c r="I42" s="2">
        <f t="shared" si="3"/>
        <v>360</v>
      </c>
    </row>
    <row r="43" spans="1:9">
      <c r="A43" t="s">
        <v>41</v>
      </c>
      <c r="B43" s="1" t="s">
        <v>55</v>
      </c>
      <c r="C43">
        <v>38</v>
      </c>
      <c r="D43">
        <v>40</v>
      </c>
      <c r="E43" s="2">
        <v>8</v>
      </c>
      <c r="F43" s="2">
        <f t="shared" si="0"/>
        <v>304</v>
      </c>
      <c r="G43" s="3">
        <f t="shared" si="1"/>
        <v>0</v>
      </c>
      <c r="H43" s="2">
        <f t="shared" si="2"/>
        <v>0</v>
      </c>
      <c r="I43" s="2">
        <f t="shared" si="3"/>
        <v>304</v>
      </c>
    </row>
    <row r="44" spans="1:9">
      <c r="A44" t="s">
        <v>42</v>
      </c>
      <c r="B44" s="1" t="s">
        <v>51</v>
      </c>
      <c r="C44">
        <v>41</v>
      </c>
      <c r="D44">
        <v>40</v>
      </c>
      <c r="E44" s="2">
        <v>12</v>
      </c>
      <c r="F44" s="2">
        <f t="shared" si="0"/>
        <v>492</v>
      </c>
      <c r="G44" s="3">
        <f t="shared" si="1"/>
        <v>1</v>
      </c>
      <c r="H44" s="2">
        <f t="shared" si="2"/>
        <v>6</v>
      </c>
      <c r="I44" s="2">
        <f t="shared" si="3"/>
        <v>498</v>
      </c>
    </row>
    <row r="45" spans="1:9">
      <c r="A45" t="s">
        <v>43</v>
      </c>
      <c r="B45" s="1" t="s">
        <v>52</v>
      </c>
      <c r="C45">
        <v>39</v>
      </c>
      <c r="D45">
        <v>40</v>
      </c>
      <c r="E45" s="2">
        <v>10</v>
      </c>
      <c r="F45" s="2">
        <f t="shared" si="0"/>
        <v>390</v>
      </c>
      <c r="G45" s="3">
        <f t="shared" si="1"/>
        <v>0</v>
      </c>
      <c r="H45" s="2">
        <f t="shared" si="2"/>
        <v>0</v>
      </c>
      <c r="I45" s="2">
        <f t="shared" si="3"/>
        <v>390</v>
      </c>
    </row>
    <row r="46" spans="1:9">
      <c r="A46" t="s">
        <v>44</v>
      </c>
      <c r="B46" s="1" t="s">
        <v>55</v>
      </c>
      <c r="C46">
        <v>36</v>
      </c>
      <c r="D46">
        <v>40</v>
      </c>
      <c r="E46" s="2">
        <v>8</v>
      </c>
      <c r="F46" s="2">
        <f t="shared" si="0"/>
        <v>288</v>
      </c>
      <c r="G46" s="3">
        <f t="shared" si="1"/>
        <v>0</v>
      </c>
      <c r="H46" s="2">
        <f t="shared" si="2"/>
        <v>0</v>
      </c>
      <c r="I46" s="2">
        <f t="shared" si="3"/>
        <v>288</v>
      </c>
    </row>
    <row r="47" spans="1:9">
      <c r="A47" t="s">
        <v>45</v>
      </c>
      <c r="B47" s="1" t="s">
        <v>51</v>
      </c>
      <c r="C47">
        <v>43</v>
      </c>
      <c r="D47">
        <v>40</v>
      </c>
      <c r="E47" s="2">
        <v>13</v>
      </c>
      <c r="F47" s="2">
        <f t="shared" si="0"/>
        <v>559</v>
      </c>
      <c r="G47" s="3">
        <f t="shared" si="1"/>
        <v>3</v>
      </c>
      <c r="H47" s="2">
        <f t="shared" si="2"/>
        <v>19.5</v>
      </c>
      <c r="I47" s="2">
        <f t="shared" si="3"/>
        <v>578.5</v>
      </c>
    </row>
    <row r="48" spans="1:9">
      <c r="A48" t="s">
        <v>46</v>
      </c>
      <c r="B48" s="1" t="s">
        <v>53</v>
      </c>
      <c r="C48">
        <v>40</v>
      </c>
      <c r="D48">
        <v>40</v>
      </c>
      <c r="E48" s="2">
        <v>9</v>
      </c>
      <c r="F48" s="2">
        <f t="shared" si="0"/>
        <v>360</v>
      </c>
      <c r="G48" s="3">
        <f t="shared" si="1"/>
        <v>0</v>
      </c>
      <c r="H48" s="2">
        <f t="shared" si="2"/>
        <v>0</v>
      </c>
      <c r="I48" s="2">
        <f t="shared" si="3"/>
        <v>360</v>
      </c>
    </row>
    <row r="49" spans="1:9">
      <c r="A49" t="s">
        <v>47</v>
      </c>
      <c r="B49" s="1" t="s">
        <v>55</v>
      </c>
      <c r="C49">
        <v>37</v>
      </c>
      <c r="D49">
        <v>40</v>
      </c>
      <c r="E49" s="2">
        <v>8</v>
      </c>
      <c r="F49" s="2">
        <f t="shared" si="0"/>
        <v>296</v>
      </c>
      <c r="G49" s="3">
        <f t="shared" si="1"/>
        <v>0</v>
      </c>
      <c r="H49" s="2">
        <f t="shared" si="2"/>
        <v>0</v>
      </c>
      <c r="I49" s="2">
        <f t="shared" si="3"/>
        <v>296</v>
      </c>
    </row>
    <row r="50" spans="1:9">
      <c r="A50" t="s">
        <v>48</v>
      </c>
      <c r="B50" s="1" t="s">
        <v>51</v>
      </c>
      <c r="C50">
        <v>42</v>
      </c>
      <c r="D50">
        <v>40</v>
      </c>
      <c r="E50" s="2">
        <v>12</v>
      </c>
      <c r="F50" s="2">
        <f t="shared" si="0"/>
        <v>504</v>
      </c>
      <c r="G50" s="3">
        <f t="shared" si="1"/>
        <v>2</v>
      </c>
      <c r="H50" s="2">
        <f t="shared" si="2"/>
        <v>12</v>
      </c>
      <c r="I50" s="2">
        <f t="shared" si="3"/>
        <v>516</v>
      </c>
    </row>
    <row r="51" spans="1:9">
      <c r="A51" t="s">
        <v>49</v>
      </c>
      <c r="B51" s="1" t="s">
        <v>54</v>
      </c>
      <c r="C51">
        <v>46</v>
      </c>
      <c r="D51">
        <v>40</v>
      </c>
      <c r="E51" s="2">
        <v>16</v>
      </c>
      <c r="F51" s="2">
        <f t="shared" si="0"/>
        <v>736</v>
      </c>
      <c r="G51" s="3">
        <f t="shared" si="1"/>
        <v>6</v>
      </c>
      <c r="H51" s="2">
        <f t="shared" si="2"/>
        <v>48</v>
      </c>
      <c r="I51" s="2">
        <f t="shared" si="3"/>
        <v>784</v>
      </c>
    </row>
    <row r="53" spans="1:9">
      <c r="A53" t="s">
        <v>63</v>
      </c>
      <c r="C53">
        <f t="shared" ref="C53:I53" si="4">MAX(C2:C51)</f>
        <v>46</v>
      </c>
      <c r="D53">
        <f t="shared" si="4"/>
        <v>40</v>
      </c>
      <c r="E53" s="2">
        <f t="shared" si="4"/>
        <v>16</v>
      </c>
      <c r="F53" s="2">
        <f t="shared" si="4"/>
        <v>736</v>
      </c>
      <c r="G53">
        <f t="shared" si="4"/>
        <v>6</v>
      </c>
      <c r="H53" s="2">
        <f t="shared" si="4"/>
        <v>48</v>
      </c>
      <c r="I53" s="2">
        <f t="shared" si="4"/>
        <v>784</v>
      </c>
    </row>
    <row r="54" spans="1:9">
      <c r="A54" t="s">
        <v>64</v>
      </c>
      <c r="C54">
        <f>MIN(C2:C51)</f>
        <v>36</v>
      </c>
      <c r="D54">
        <f>MIN(D2:D51)</f>
        <v>40</v>
      </c>
      <c r="E54" s="2">
        <f>MIN(E3:E52)</f>
        <v>8</v>
      </c>
      <c r="F54" s="2">
        <f>MIN(F3:F52)</f>
        <v>288</v>
      </c>
      <c r="G54">
        <f>MIN(G2:G51)</f>
        <v>0</v>
      </c>
      <c r="H54" s="2">
        <f>MIN(H3:H52)</f>
        <v>0</v>
      </c>
      <c r="I54" s="2">
        <f>MIN(I3:I52)</f>
        <v>288</v>
      </c>
    </row>
    <row r="55" spans="1:9">
      <c r="A55" t="s">
        <v>65</v>
      </c>
      <c r="C55">
        <f>AVERAGE(C2:C51)</f>
        <v>40.58</v>
      </c>
      <c r="D55">
        <f>AVERAGE(D2:D51)</f>
        <v>40</v>
      </c>
      <c r="E55" s="2">
        <f>AVERAGE(E4:E53)</f>
        <v>10.836734693877551</v>
      </c>
      <c r="F55" s="2">
        <f>AVERAGE(F4:F53)</f>
        <v>448.0204081632653</v>
      </c>
      <c r="G55" s="4">
        <f>AVERAGE(G3:G52)</f>
        <v>1.4081632653061225</v>
      </c>
      <c r="H55" s="2">
        <f>AVERAGE(H4:H53)</f>
        <v>10.785714285714286</v>
      </c>
      <c r="I55" s="2">
        <f>AVERAGE(I4:I53)</f>
        <v>458.80612244897958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2015-06-05T18:17:20Z</dcterms:created>
  <dcterms:modified xsi:type="dcterms:W3CDTF">2026-03-17T17:10:51Z</dcterms:modified>
</cp:coreProperties>
</file>